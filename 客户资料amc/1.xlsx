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6D10333-629E-44D9-91C2-CAF1E8822275}" xr6:coauthVersionLast="47" xr6:coauthVersionMax="47" xr10:uidLastSave="{00000000-0000-0000-0000-000000000000}"/>
  <bookViews>
    <workbookView xWindow="-110" yWindow="-110" windowWidth="19420" windowHeight="10300" xr2:uid="{E0728F2E-B454-4ADF-9B61-710456E3B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1" l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C13" i="1"/>
  <c r="B13" i="1"/>
  <c r="D13" i="1" s="1"/>
  <c r="E13" i="1" l="1"/>
  <c r="F13" i="1" s="1"/>
  <c r="B14" i="1" s="1"/>
  <c r="D14" i="1" s="1"/>
  <c r="E14" i="1" s="1"/>
  <c r="F14" i="1" s="1"/>
  <c r="B15" i="1" s="1"/>
  <c r="D15" i="1" s="1"/>
  <c r="E15" i="1" s="1"/>
  <c r="F15" i="1" s="1"/>
  <c r="B16" i="1" s="1"/>
  <c r="D16" i="1" s="1"/>
  <c r="E16" i="1" s="1"/>
  <c r="F16" i="1" s="1"/>
  <c r="B17" i="1" s="1"/>
  <c r="D17" i="1" s="1"/>
  <c r="E17" i="1" s="1"/>
  <c r="F17" i="1" s="1"/>
  <c r="B18" i="1" s="1"/>
  <c r="D18" i="1" s="1"/>
  <c r="E18" i="1" s="1"/>
  <c r="F18" i="1" s="1"/>
  <c r="B19" i="1" s="1"/>
  <c r="D19" i="1" s="1"/>
  <c r="E19" i="1" s="1"/>
  <c r="F19" i="1" s="1"/>
  <c r="B20" i="1" s="1"/>
  <c r="D20" i="1" s="1"/>
  <c r="E20" i="1" s="1"/>
  <c r="F20" i="1" s="1"/>
  <c r="B21" i="1" s="1"/>
  <c r="D21" i="1" s="1"/>
  <c r="E21" i="1" s="1"/>
  <c r="F21" i="1" s="1"/>
  <c r="B22" i="1" s="1"/>
  <c r="D22" i="1" s="1"/>
  <c r="E22" i="1" s="1"/>
  <c r="F22" i="1" s="1"/>
  <c r="B23" i="1" s="1"/>
  <c r="D23" i="1" s="1"/>
  <c r="E23" i="1" s="1"/>
  <c r="F23" i="1" s="1"/>
  <c r="B24" i="1" s="1"/>
  <c r="D24" i="1" s="1"/>
  <c r="E24" i="1" s="1"/>
  <c r="F24" i="1" s="1"/>
  <c r="B25" i="1" s="1"/>
  <c r="D25" i="1" s="1"/>
  <c r="E25" i="1" s="1"/>
  <c r="F25" i="1" s="1"/>
  <c r="B26" i="1" s="1"/>
  <c r="D26" i="1" s="1"/>
  <c r="E26" i="1" s="1"/>
  <c r="F26" i="1" s="1"/>
  <c r="B27" i="1" s="1"/>
  <c r="D27" i="1" s="1"/>
  <c r="E27" i="1" s="1"/>
  <c r="F27" i="1" s="1"/>
  <c r="B28" i="1" s="1"/>
  <c r="D28" i="1" s="1"/>
  <c r="E28" i="1" s="1"/>
  <c r="F28" i="1" s="1"/>
  <c r="B29" i="1" s="1"/>
  <c r="D29" i="1" s="1"/>
  <c r="E29" i="1" s="1"/>
  <c r="F29" i="1" s="1"/>
  <c r="B30" i="1" s="1"/>
  <c r="D30" i="1" s="1"/>
  <c r="E30" i="1" s="1"/>
  <c r="F30" i="1" s="1"/>
  <c r="B31" i="1" s="1"/>
  <c r="D31" i="1" s="1"/>
  <c r="E31" i="1" s="1"/>
  <c r="F31" i="1" s="1"/>
  <c r="B32" i="1" s="1"/>
  <c r="D32" i="1" s="1"/>
  <c r="E32" i="1" s="1"/>
  <c r="F32" i="1" s="1"/>
  <c r="B33" i="1" s="1"/>
  <c r="D33" i="1" s="1"/>
  <c r="E33" i="1" s="1"/>
  <c r="F33" i="1" s="1"/>
  <c r="B34" i="1" s="1"/>
  <c r="D34" i="1" s="1"/>
  <c r="E34" i="1" s="1"/>
  <c r="F34" i="1" s="1"/>
  <c r="B35" i="1" s="1"/>
  <c r="D35" i="1" s="1"/>
  <c r="E35" i="1" s="1"/>
  <c r="F35" i="1" s="1"/>
  <c r="B36" i="1" s="1"/>
  <c r="D36" i="1" s="1"/>
  <c r="E36" i="1" s="1"/>
  <c r="F36" i="1" s="1"/>
  <c r="B37" i="1" s="1"/>
  <c r="D37" i="1" s="1"/>
  <c r="E37" i="1" s="1"/>
  <c r="F37" i="1" s="1"/>
  <c r="B38" i="1" s="1"/>
  <c r="D38" i="1" s="1"/>
  <c r="E38" i="1" s="1"/>
  <c r="F38" i="1" s="1"/>
  <c r="B39" i="1" s="1"/>
  <c r="D39" i="1" s="1"/>
  <c r="E39" i="1" s="1"/>
  <c r="F39" i="1" s="1"/>
  <c r="B40" i="1" s="1"/>
  <c r="D40" i="1" s="1"/>
  <c r="E40" i="1" s="1"/>
  <c r="F40" i="1" s="1"/>
  <c r="B41" i="1" s="1"/>
  <c r="D41" i="1" s="1"/>
  <c r="E41" i="1" s="1"/>
  <c r="F41" i="1" s="1"/>
  <c r="B42" i="1" s="1"/>
  <c r="D42" i="1" s="1"/>
  <c r="E42" i="1" s="1"/>
  <c r="F42" i="1" s="1"/>
  <c r="B43" i="1" s="1"/>
  <c r="D43" i="1" s="1"/>
  <c r="E43" i="1" s="1"/>
  <c r="F43" i="1" s="1"/>
</calcChain>
</file>

<file path=xl/sharedStrings.xml><?xml version="1.0" encoding="utf-8"?>
<sst xmlns="http://schemas.openxmlformats.org/spreadsheetml/2006/main" count="26" uniqueCount="21">
  <si>
    <t>C0</t>
    <phoneticPr fontId="2" type="noConversion"/>
  </si>
  <si>
    <t>μg/m³</t>
    <phoneticPr fontId="2" type="noConversion"/>
  </si>
  <si>
    <t>G</t>
    <phoneticPr fontId="2" type="noConversion"/>
  </si>
  <si>
    <t>η_MAU</t>
    <phoneticPr fontId="2" type="noConversion"/>
  </si>
  <si>
    <t>efficiency (0~1)</t>
    <phoneticPr fontId="2" type="noConversion"/>
  </si>
  <si>
    <t>cov_MAU</t>
    <phoneticPr fontId="2" type="noConversion"/>
  </si>
  <si>
    <t>coverage (0~1)</t>
    <phoneticPr fontId="2" type="noConversion"/>
  </si>
  <si>
    <t>η_ceil</t>
    <phoneticPr fontId="2" type="noConversion"/>
  </si>
  <si>
    <t>cov_ceil</t>
    <phoneticPr fontId="2" type="noConversion"/>
  </si>
  <si>
    <t>η_ARU</t>
    <phoneticPr fontId="2" type="noConversion"/>
  </si>
  <si>
    <t>cov_ARU</t>
    <phoneticPr fontId="2" type="noConversion"/>
  </si>
  <si>
    <t>α</t>
    <phoneticPr fontId="2" type="noConversion"/>
  </si>
  <si>
    <t>Fresh Air Ratio(720/3600)TBC</t>
    <phoneticPr fontId="2" type="noConversion"/>
  </si>
  <si>
    <t>β</t>
    <phoneticPr fontId="2" type="noConversion"/>
  </si>
  <si>
    <t>Recirculation Ratio(2880/3600)TBC</t>
    <phoneticPr fontId="2" type="noConversion"/>
  </si>
  <si>
    <t>Iter</t>
    <phoneticPr fontId="2" type="noConversion"/>
  </si>
  <si>
    <t>Cr_old</t>
    <phoneticPr fontId="2" type="noConversion"/>
  </si>
  <si>
    <t>C1</t>
    <phoneticPr fontId="2" type="noConversion"/>
  </si>
  <si>
    <t xml:space="preserve">C_return  </t>
    <phoneticPr fontId="2" type="noConversion"/>
  </si>
  <si>
    <t>Cmix</t>
    <phoneticPr fontId="2" type="noConversion"/>
  </si>
  <si>
    <t>Steady-State （Cr_new）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</si>
</sst>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 x14ac:knownFonts="1">
    <font>
      <sz val="11"/>
      <color theme="1"/>
      <name val="等线"/>
      <family val="2"/>
      <charset val="134"/>
      <scheme val="minor"/>
    </font>
    <font>
      <b/>
      <sz val="10"/>
      <color theme="0"/>
      <name val="等线"/>
      <family val="3"/>
      <charset val="134"/>
    </font>
    <font>
      <sz val="9"/>
      <name val="等线"/>
      <family val="2"/>
      <charset val="134"/>
      <scheme val="minor"/>
    </font>
    <font>
      <b/>
      <sz val="10"/>
      <color theme="4" tint="-0.499984740745262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F1115"/>
      <name val="Segoe UI"/>
      <family val="2"/>
    </font>
    <font>
      <b/>
      <sz val="10"/>
      <color theme="0"/>
      <name val="Segoe UI"/>
      <family val="2"/>
    </font>
    <font>
      <b/>
      <sz val="10"/>
      <color theme="0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0F1115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F1115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4" fillId="0" borderId="0" xfId="0" applyFont="1">
      <alignment vertical="center"/>
    </xf>
    <xf numFmtId="176" fontId="3" fillId="3" borderId="0" xfId="0" applyNumberFormat="1" applyFont="1" applyFill="1" applyAlignment="1">
      <alignment horizontal="center" vertical="center"/>
    </xf>
    <xf numFmtId="0" fontId="5" fillId="0" borderId="0" xfId="0" applyFont="1">
      <alignment vertical="center"/>
    </xf>
    <xf numFmtId="9" fontId="4" fillId="0" borderId="0" xfId="0" applyNumberFormat="1" applyFont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6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700088</xdr:colOff>
      <xdr:row>0</xdr:row>
      <xdr:rowOff>1</xdr:rowOff>
    </xdr:from>
    <xdr:to>
      <xdr:col>5</xdr:col>
      <xdr:colOff>2475345</xdr:colOff>
      <xdr:row>9</xdr:row>
      <xdr:rowOff>25428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D4B752B-8586-4171-A8B1-B35DFEEE9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439578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3" name="文本框 13">
          <a:extLst>
            <a:ext uri="{FF2B5EF4-FFF2-40B4-BE49-F238E27FC236}">
              <a16:creationId xmlns:a16="http://schemas.microsoft.com/office/drawing/2014/main" id="{DA8226BC-9F07-4813-9045-477F474FEDEA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  <xdr:twoCellAnchor editAs="oneCell">
    <xdr:from>
      <xdr:col>3</xdr:col>
      <xdr:colOff>700088</xdr:colOff>
      <xdr:row>0</xdr:row>
      <xdr:rowOff>1</xdr:rowOff>
    </xdr:from>
    <xdr:to>
      <xdr:col>5</xdr:col>
      <xdr:colOff>2475345</xdr:colOff>
      <xdr:row>9</xdr:row>
      <xdr:rowOff>25428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68B0661-8823-4415-A827-8717BDA08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439578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5" name="文本框 13">
          <a:extLst>
            <a:ext uri="{FF2B5EF4-FFF2-40B4-BE49-F238E27FC236}">
              <a16:creationId xmlns:a16="http://schemas.microsoft.com/office/drawing/2014/main" id="{6F969436-A715-4CD8-8ACE-9F5227F73783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  <xdr:twoCellAnchor editAs="oneCell">
    <xdr:from>
      <xdr:col>3</xdr:col>
      <xdr:colOff>700088</xdr:colOff>
      <xdr:row>0</xdr:row>
      <xdr:rowOff>1</xdr:rowOff>
    </xdr:from>
    <xdr:to>
      <xdr:col>5</xdr:col>
      <xdr:colOff>2475345</xdr:colOff>
      <xdr:row>9</xdr:row>
      <xdr:rowOff>25428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F7EDC58-3F05-4E9F-BAC5-E83D92B584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439578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7" name="文本框 13">
          <a:extLst>
            <a:ext uri="{FF2B5EF4-FFF2-40B4-BE49-F238E27FC236}">
              <a16:creationId xmlns:a16="http://schemas.microsoft.com/office/drawing/2014/main" id="{E92344D4-13AE-40D8-9852-F328D640D702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  <xdr:twoCellAnchor editAs="oneCell">
    <xdr:from>
      <xdr:col>3</xdr:col>
      <xdr:colOff>700088</xdr:colOff>
      <xdr:row>0</xdr:row>
      <xdr:rowOff>1</xdr:rowOff>
    </xdr:from>
    <xdr:to>
      <xdr:col>5</xdr:col>
      <xdr:colOff>2475345</xdr:colOff>
      <xdr:row>9</xdr:row>
      <xdr:rowOff>25428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F780B14-D63F-4BE0-86CC-43B4852F4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439578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9" name="文本框 13">
          <a:extLst>
            <a:ext uri="{FF2B5EF4-FFF2-40B4-BE49-F238E27FC236}">
              <a16:creationId xmlns:a16="http://schemas.microsoft.com/office/drawing/2014/main" id="{AE96B34D-2FAD-4031-980E-0145E72C5A3E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  <xdr:twoCellAnchor editAs="oneCell">
    <xdr:from>
      <xdr:col>3</xdr:col>
      <xdr:colOff>700088</xdr:colOff>
      <xdr:row>0</xdr:row>
      <xdr:rowOff>1</xdr:rowOff>
    </xdr:from>
    <xdr:to>
      <xdr:col>5</xdr:col>
      <xdr:colOff>2475345</xdr:colOff>
      <xdr:row>9</xdr:row>
      <xdr:rowOff>25428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ED02B50-15CD-43C8-9022-9E6F61B1D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439578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11" name="文本框 13">
          <a:extLst>
            <a:ext uri="{FF2B5EF4-FFF2-40B4-BE49-F238E27FC236}">
              <a16:creationId xmlns:a16="http://schemas.microsoft.com/office/drawing/2014/main" id="{60BE9417-A3D0-406D-B8ED-7E01F4B4ED84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  <xdr:twoCellAnchor editAs="oneCell">
    <xdr:from>
      <xdr:col>3</xdr:col>
      <xdr:colOff>700088</xdr:colOff>
      <xdr:row>0</xdr:row>
      <xdr:rowOff>1</xdr:rowOff>
    </xdr:from>
    <xdr:to>
      <xdr:col>5</xdr:col>
      <xdr:colOff>2475345</xdr:colOff>
      <xdr:row>9</xdr:row>
      <xdr:rowOff>25428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16F6AE5-DB5C-4143-9A33-C580CE28A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439578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13" name="文本框 13">
          <a:extLst>
            <a:ext uri="{FF2B5EF4-FFF2-40B4-BE49-F238E27FC236}">
              <a16:creationId xmlns:a16="http://schemas.microsoft.com/office/drawing/2014/main" id="{20DAD07D-D211-4B56-AA3A-6F79FE8CF729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  <xdr:twoCellAnchor editAs="oneCell">
    <xdr:from>
      <xdr:col>3</xdr:col>
      <xdr:colOff>700088</xdr:colOff>
      <xdr:row>0</xdr:row>
      <xdr:rowOff>1</xdr:rowOff>
    </xdr:from>
    <xdr:to>
      <xdr:col>5</xdr:col>
      <xdr:colOff>2475345</xdr:colOff>
      <xdr:row>9</xdr:row>
      <xdr:rowOff>25428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986D6CC-5957-4AA5-A98C-24C62D734E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439578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15" name="文本框 13">
          <a:extLst>
            <a:ext uri="{FF2B5EF4-FFF2-40B4-BE49-F238E27FC236}">
              <a16:creationId xmlns:a16="http://schemas.microsoft.com/office/drawing/2014/main" id="{EADB857E-3AA2-437C-92C2-17129AFF6DBD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  <xdr:twoCellAnchor editAs="oneCell">
    <xdr:from>
      <xdr:col>3</xdr:col>
      <xdr:colOff>700088</xdr:colOff>
      <xdr:row>0</xdr:row>
      <xdr:rowOff>1</xdr:rowOff>
    </xdr:from>
    <xdr:to>
      <xdr:col>5</xdr:col>
      <xdr:colOff>2475345</xdr:colOff>
      <xdr:row>9</xdr:row>
      <xdr:rowOff>25428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DF358E6A-4B51-415D-9D08-A0B08703F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439578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17" name="文本框 13">
          <a:extLst>
            <a:ext uri="{FF2B5EF4-FFF2-40B4-BE49-F238E27FC236}">
              <a16:creationId xmlns:a16="http://schemas.microsoft.com/office/drawing/2014/main" id="{A949C9AA-2BAE-4E91-AC95-704ECF8F42F2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5484-F28F-4249-9C51-6C8ACC61DEC6}">
  <dimension ref="A1:F50"/>
  <sheetViews>
    <sheetView tabSelected="1" zoomScale="115" zoomScaleNormal="115" workbookViewId="0">
      <selection activeCell="I4" sqref="I4"/>
    </sheetView>
  </sheetViews>
  <sheetFormatPr defaultRowHeight="14" x14ac:dyDescent="0.3"/>
  <cols>
    <col min="3" max="3" width="25.9140625" customWidth="1"/>
    <col min="4" max="4" width="13.58203125" customWidth="1"/>
    <col min="6" max="6" width="36.58203125" customWidth="1"/>
  </cols>
  <sheetData>
    <row r="1" spans="1:6" x14ac:dyDescent="0.3">
      <c r="A1" s="1" t="s">
        <v>0</v>
      </c>
      <c r="B1" s="2">
        <v>5</v>
      </c>
      <c r="C1" s="3" t="s">
        <v>1</v>
      </c>
      <c r="D1" s="4"/>
      <c r="E1" s="4"/>
      <c r="F1" s="4"/>
    </row>
    <row r="2" spans="1:6" x14ac:dyDescent="0.3">
      <c r="A2" s="1" t="s">
        <v>2</v>
      </c>
      <c r="B2" s="2">
        <v>9</v>
      </c>
      <c r="C2" s="3" t="s">
        <v>1</v>
      </c>
      <c r="D2" s="4"/>
      <c r="E2" s="4"/>
      <c r="F2" s="4"/>
    </row>
    <row r="3" spans="1:6" x14ac:dyDescent="0.3">
      <c r="A3" s="1" t="s">
        <v>3</v>
      </c>
      <c r="B3" s="5">
        <v>0</v>
      </c>
      <c r="C3" s="3" t="s">
        <v>4</v>
      </c>
      <c r="D3" s="4"/>
      <c r="E3" s="4"/>
      <c r="F3" s="4"/>
    </row>
    <row r="4" spans="1:6" x14ac:dyDescent="0.3">
      <c r="A4" s="1" t="s">
        <v>5</v>
      </c>
      <c r="B4" s="5">
        <v>0</v>
      </c>
      <c r="C4" s="3" t="s">
        <v>6</v>
      </c>
      <c r="D4" s="4"/>
      <c r="E4" s="4"/>
      <c r="F4" s="4"/>
    </row>
    <row r="5" spans="1:6" x14ac:dyDescent="0.3">
      <c r="A5" s="1" t="s">
        <v>7</v>
      </c>
      <c r="B5" s="5">
        <v>0.9</v>
      </c>
      <c r="C5" s="3" t="s">
        <v>4</v>
      </c>
      <c r="D5" s="4"/>
      <c r="E5" s="4"/>
      <c r="F5" s="4"/>
    </row>
    <row r="6" spans="1:6" x14ac:dyDescent="0.3">
      <c r="A6" s="1" t="s">
        <v>8</v>
      </c>
      <c r="B6" s="5">
        <v>1</v>
      </c>
      <c r="C6" s="3" t="s">
        <v>6</v>
      </c>
      <c r="D6" s="4"/>
      <c r="E6" s="4"/>
      <c r="F6" s="4"/>
    </row>
    <row r="7" spans="1:6" x14ac:dyDescent="0.3">
      <c r="A7" s="1" t="s">
        <v>9</v>
      </c>
      <c r="B7" s="5">
        <v>0</v>
      </c>
      <c r="C7" s="3" t="s">
        <v>4</v>
      </c>
      <c r="D7" s="4"/>
      <c r="E7" s="4"/>
      <c r="F7" s="4"/>
    </row>
    <row r="8" spans="1:6" x14ac:dyDescent="0.3">
      <c r="A8" s="1" t="s">
        <v>10</v>
      </c>
      <c r="B8" s="5">
        <v>0</v>
      </c>
      <c r="C8" s="3" t="s">
        <v>6</v>
      </c>
      <c r="D8" s="4"/>
      <c r="E8" s="4"/>
      <c r="F8" s="4"/>
    </row>
    <row r="9" spans="1:6" x14ac:dyDescent="0.3">
      <c r="A9" s="1" t="s">
        <v>11</v>
      </c>
      <c r="B9" s="5">
        <v>0.2</v>
      </c>
      <c r="C9" s="3" t="s">
        <v>12</v>
      </c>
      <c r="D9" s="4"/>
      <c r="E9" s="4"/>
      <c r="F9" s="4"/>
    </row>
    <row r="10" spans="1:6" x14ac:dyDescent="0.3">
      <c r="A10" s="1" t="s">
        <v>13</v>
      </c>
      <c r="B10" s="5">
        <v>0.8</v>
      </c>
      <c r="C10" s="3" t="s">
        <v>14</v>
      </c>
      <c r="D10" s="4"/>
      <c r="E10" s="4"/>
      <c r="F10" s="4"/>
    </row>
    <row r="11" spans="1:6" ht="16" x14ac:dyDescent="0.3">
      <c r="A11" s="6"/>
      <c r="B11" s="7"/>
      <c r="C11" s="4"/>
      <c r="D11" s="4"/>
      <c r="E11" s="4"/>
      <c r="F11" s="4"/>
    </row>
    <row r="12" spans="1:6" ht="16" x14ac:dyDescent="0.3">
      <c r="A12" s="8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10" t="s">
        <v>20</v>
      </c>
    </row>
    <row r="13" spans="1:6" x14ac:dyDescent="0.3">
      <c r="A13" s="11">
        <v>0</v>
      </c>
      <c r="B13" s="11">
        <f>B1</f>
        <v>5</v>
      </c>
      <c r="C13" s="12">
        <f>$B$1*(1-$B$3*$B$4)</f>
        <v>5</v>
      </c>
      <c r="D13" s="12">
        <f>B13*(1-$B$7*$B$8)</f>
        <v>5</v>
      </c>
      <c r="E13" s="12">
        <f>$B$9*C13 + $B$10*D13</f>
        <v>5</v>
      </c>
      <c r="F13" s="12">
        <f>E13*(1-$B$6*$B$5) + $B$9*$B$2</f>
        <v>2.2999999999999998</v>
      </c>
    </row>
    <row r="14" spans="1:6" x14ac:dyDescent="0.3">
      <c r="A14" s="13">
        <f>A13+1</f>
        <v>1</v>
      </c>
      <c r="B14" s="13">
        <f>F13</f>
        <v>2.2999999999999998</v>
      </c>
      <c r="C14" s="13">
        <f>$B$1*(1-$B$3*$B$4)</f>
        <v>5</v>
      </c>
      <c r="D14" s="13">
        <f>B14*(1-$B$7*$B$8)</f>
        <v>2.2999999999999998</v>
      </c>
      <c r="E14" s="14">
        <f>$B$9*C14 + $B$10*D14</f>
        <v>2.84</v>
      </c>
      <c r="F14" s="14">
        <f>E14*(1-$B$6*$B$5) + $B$9*$B$2</f>
        <v>2.0840000000000001</v>
      </c>
    </row>
    <row r="15" spans="1:6" x14ac:dyDescent="0.3">
      <c r="A15" s="13">
        <f t="shared" ref="A15:A43" si="0">A14+1</f>
        <v>2</v>
      </c>
      <c r="B15" s="13">
        <f t="shared" ref="B15:B43" si="1">F14</f>
        <v>2.0840000000000001</v>
      </c>
      <c r="C15" s="13">
        <f t="shared" ref="C15:C43" si="2">$B$1*(1-$B$3*$B$4)</f>
        <v>5</v>
      </c>
      <c r="D15" s="13">
        <f t="shared" ref="D15:D43" si="3">B15*(1-$B$7*$B$8)</f>
        <v>2.0840000000000001</v>
      </c>
      <c r="E15" s="14">
        <f t="shared" ref="E15:E43" si="4">$B$9*C15 + $B$10*D15</f>
        <v>2.6672000000000002</v>
      </c>
      <c r="F15" s="14">
        <f t="shared" ref="F15:F43" si="5">E15*(1-$B$6*$B$5) + $B$9*$B$2</f>
        <v>2.0667200000000001</v>
      </c>
    </row>
    <row r="16" spans="1:6" x14ac:dyDescent="0.3">
      <c r="A16" s="13">
        <f t="shared" si="0"/>
        <v>3</v>
      </c>
      <c r="B16" s="13">
        <f t="shared" si="1"/>
        <v>2.0667200000000001</v>
      </c>
      <c r="C16" s="13">
        <f t="shared" si="2"/>
        <v>5</v>
      </c>
      <c r="D16" s="13">
        <f t="shared" si="3"/>
        <v>2.0667200000000001</v>
      </c>
      <c r="E16" s="14">
        <f t="shared" si="4"/>
        <v>2.6533760000000002</v>
      </c>
      <c r="F16" s="14">
        <f t="shared" si="5"/>
        <v>2.0653375999999999</v>
      </c>
    </row>
    <row r="17" spans="1:6" x14ac:dyDescent="0.3">
      <c r="A17" s="13">
        <f t="shared" si="0"/>
        <v>4</v>
      </c>
      <c r="B17" s="13">
        <f t="shared" si="1"/>
        <v>2.0653375999999999</v>
      </c>
      <c r="C17" s="13">
        <f>$B$1*(1-$B$3*$B$4)</f>
        <v>5</v>
      </c>
      <c r="D17" s="13">
        <f t="shared" si="3"/>
        <v>2.0653375999999999</v>
      </c>
      <c r="E17" s="14">
        <f t="shared" si="4"/>
        <v>2.6522700800000001</v>
      </c>
      <c r="F17" s="14">
        <f t="shared" si="5"/>
        <v>2.0652270079999999</v>
      </c>
    </row>
    <row r="18" spans="1:6" x14ac:dyDescent="0.3">
      <c r="A18" s="13">
        <f t="shared" si="0"/>
        <v>5</v>
      </c>
      <c r="B18" s="13">
        <f>F17</f>
        <v>2.0652270079999999</v>
      </c>
      <c r="C18" s="13">
        <f t="shared" si="2"/>
        <v>5</v>
      </c>
      <c r="D18" s="13">
        <f t="shared" si="3"/>
        <v>2.0652270079999999</v>
      </c>
      <c r="E18" s="14">
        <f t="shared" si="4"/>
        <v>2.6521816064000001</v>
      </c>
      <c r="F18" s="14">
        <f t="shared" si="5"/>
        <v>2.0652181606400002</v>
      </c>
    </row>
    <row r="19" spans="1:6" x14ac:dyDescent="0.3">
      <c r="A19" s="13">
        <f t="shared" si="0"/>
        <v>6</v>
      </c>
      <c r="B19" s="13">
        <f t="shared" si="1"/>
        <v>2.0652181606400002</v>
      </c>
      <c r="C19" s="13">
        <f t="shared" si="2"/>
        <v>5</v>
      </c>
      <c r="D19" s="13">
        <f t="shared" si="3"/>
        <v>2.0652181606400002</v>
      </c>
      <c r="E19" s="14">
        <f t="shared" si="4"/>
        <v>2.652174528512</v>
      </c>
      <c r="F19" s="14">
        <f t="shared" si="5"/>
        <v>2.0652174528512002</v>
      </c>
    </row>
    <row r="20" spans="1:6" x14ac:dyDescent="0.3">
      <c r="A20" s="13">
        <f>A19+1</f>
        <v>7</v>
      </c>
      <c r="B20" s="13">
        <f t="shared" si="1"/>
        <v>2.0652174528512002</v>
      </c>
      <c r="C20" s="13">
        <f t="shared" si="2"/>
        <v>5</v>
      </c>
      <c r="D20" s="13">
        <f t="shared" si="3"/>
        <v>2.0652174528512002</v>
      </c>
      <c r="E20" s="14">
        <f t="shared" si="4"/>
        <v>2.6521739622809601</v>
      </c>
      <c r="F20" s="14">
        <f t="shared" si="5"/>
        <v>2.0652173962280962</v>
      </c>
    </row>
    <row r="21" spans="1:6" x14ac:dyDescent="0.3">
      <c r="A21" s="13">
        <f t="shared" si="0"/>
        <v>8</v>
      </c>
      <c r="B21" s="13">
        <f t="shared" si="1"/>
        <v>2.0652173962280962</v>
      </c>
      <c r="C21" s="13">
        <f t="shared" si="2"/>
        <v>5</v>
      </c>
      <c r="D21" s="13">
        <f t="shared" si="3"/>
        <v>2.0652173962280962</v>
      </c>
      <c r="E21" s="14">
        <f t="shared" si="4"/>
        <v>2.652173916982477</v>
      </c>
      <c r="F21" s="14">
        <f t="shared" si="5"/>
        <v>2.0652173916982477</v>
      </c>
    </row>
    <row r="22" spans="1:6" x14ac:dyDescent="0.3">
      <c r="A22" s="13">
        <f t="shared" si="0"/>
        <v>9</v>
      </c>
      <c r="B22" s="13">
        <f t="shared" si="1"/>
        <v>2.0652173916982477</v>
      </c>
      <c r="C22" s="13">
        <f t="shared" si="2"/>
        <v>5</v>
      </c>
      <c r="D22" s="13">
        <f t="shared" si="3"/>
        <v>2.0652173916982477</v>
      </c>
      <c r="E22" s="14">
        <f t="shared" si="4"/>
        <v>2.652173913358598</v>
      </c>
      <c r="F22" s="14">
        <f t="shared" si="5"/>
        <v>2.0652173913358598</v>
      </c>
    </row>
    <row r="23" spans="1:6" x14ac:dyDescent="0.3">
      <c r="A23" s="13">
        <f t="shared" si="0"/>
        <v>10</v>
      </c>
      <c r="B23" s="13">
        <f t="shared" si="1"/>
        <v>2.0652173913358598</v>
      </c>
      <c r="C23" s="13">
        <f t="shared" si="2"/>
        <v>5</v>
      </c>
      <c r="D23" s="13">
        <f t="shared" si="3"/>
        <v>2.0652173913358598</v>
      </c>
      <c r="E23" s="14">
        <f t="shared" si="4"/>
        <v>2.6521739130686877</v>
      </c>
      <c r="F23" s="14">
        <f t="shared" si="5"/>
        <v>2.0652173913068688</v>
      </c>
    </row>
    <row r="24" spans="1:6" x14ac:dyDescent="0.3">
      <c r="A24" s="13">
        <f t="shared" si="0"/>
        <v>11</v>
      </c>
      <c r="B24" s="13">
        <f t="shared" si="1"/>
        <v>2.0652173913068688</v>
      </c>
      <c r="C24" s="13">
        <f t="shared" si="2"/>
        <v>5</v>
      </c>
      <c r="D24" s="13">
        <f t="shared" si="3"/>
        <v>2.0652173913068688</v>
      </c>
      <c r="E24" s="14">
        <f t="shared" si="4"/>
        <v>2.6521739130454951</v>
      </c>
      <c r="F24" s="14">
        <f t="shared" si="5"/>
        <v>2.0652173913045493</v>
      </c>
    </row>
    <row r="25" spans="1:6" x14ac:dyDescent="0.3">
      <c r="A25" s="13">
        <f t="shared" si="0"/>
        <v>12</v>
      </c>
      <c r="B25" s="13">
        <f t="shared" si="1"/>
        <v>2.0652173913045493</v>
      </c>
      <c r="C25" s="13">
        <f t="shared" si="2"/>
        <v>5</v>
      </c>
      <c r="D25" s="13">
        <f t="shared" si="3"/>
        <v>2.0652173913045493</v>
      </c>
      <c r="E25" s="14">
        <f t="shared" si="4"/>
        <v>2.6521739130436393</v>
      </c>
      <c r="F25" s="14">
        <f t="shared" si="5"/>
        <v>2.0652173913043641</v>
      </c>
    </row>
    <row r="26" spans="1:6" x14ac:dyDescent="0.3">
      <c r="A26" s="13">
        <f t="shared" si="0"/>
        <v>13</v>
      </c>
      <c r="B26" s="13">
        <f t="shared" si="1"/>
        <v>2.0652173913043641</v>
      </c>
      <c r="C26" s="13">
        <f t="shared" si="2"/>
        <v>5</v>
      </c>
      <c r="D26" s="13">
        <f t="shared" si="3"/>
        <v>2.0652173913043641</v>
      </c>
      <c r="E26" s="14">
        <f t="shared" si="4"/>
        <v>2.6521739130434914</v>
      </c>
      <c r="F26" s="14">
        <f t="shared" si="5"/>
        <v>2.065217391304349</v>
      </c>
    </row>
    <row r="27" spans="1:6" x14ac:dyDescent="0.3">
      <c r="A27" s="13">
        <f t="shared" si="0"/>
        <v>14</v>
      </c>
      <c r="B27" s="13">
        <f t="shared" si="1"/>
        <v>2.065217391304349</v>
      </c>
      <c r="C27" s="13">
        <f t="shared" si="2"/>
        <v>5</v>
      </c>
      <c r="D27" s="13">
        <f t="shared" si="3"/>
        <v>2.065217391304349</v>
      </c>
      <c r="E27" s="14">
        <f t="shared" si="4"/>
        <v>2.6521739130434794</v>
      </c>
      <c r="F27" s="14">
        <f t="shared" si="5"/>
        <v>2.0652173913043481</v>
      </c>
    </row>
    <row r="28" spans="1:6" x14ac:dyDescent="0.3">
      <c r="A28" s="13">
        <f t="shared" si="0"/>
        <v>15</v>
      </c>
      <c r="B28" s="13">
        <f t="shared" si="1"/>
        <v>2.0652173913043481</v>
      </c>
      <c r="C28" s="13">
        <f t="shared" si="2"/>
        <v>5</v>
      </c>
      <c r="D28" s="13">
        <f t="shared" si="3"/>
        <v>2.0652173913043481</v>
      </c>
      <c r="E28" s="14">
        <f t="shared" si="4"/>
        <v>2.6521739130434785</v>
      </c>
      <c r="F28" s="14">
        <f t="shared" si="5"/>
        <v>2.0652173913043477</v>
      </c>
    </row>
    <row r="29" spans="1:6" x14ac:dyDescent="0.3">
      <c r="A29" s="13">
        <f t="shared" si="0"/>
        <v>16</v>
      </c>
      <c r="B29" s="13">
        <f t="shared" si="1"/>
        <v>2.0652173913043477</v>
      </c>
      <c r="C29" s="13">
        <f t="shared" si="2"/>
        <v>5</v>
      </c>
      <c r="D29" s="13">
        <f t="shared" si="3"/>
        <v>2.0652173913043477</v>
      </c>
      <c r="E29" s="14">
        <f t="shared" si="4"/>
        <v>2.6521739130434785</v>
      </c>
      <c r="F29" s="14">
        <f t="shared" si="5"/>
        <v>2.0652173913043477</v>
      </c>
    </row>
    <row r="30" spans="1:6" x14ac:dyDescent="0.3">
      <c r="A30" s="13">
        <f t="shared" si="0"/>
        <v>17</v>
      </c>
      <c r="B30" s="13">
        <f t="shared" si="1"/>
        <v>2.0652173913043477</v>
      </c>
      <c r="C30" s="13">
        <f t="shared" si="2"/>
        <v>5</v>
      </c>
      <c r="D30" s="13">
        <f t="shared" si="3"/>
        <v>2.0652173913043477</v>
      </c>
      <c r="E30" s="14">
        <f t="shared" si="4"/>
        <v>2.6521739130434785</v>
      </c>
      <c r="F30" s="14">
        <f t="shared" si="5"/>
        <v>2.0652173913043477</v>
      </c>
    </row>
    <row r="31" spans="1:6" x14ac:dyDescent="0.3">
      <c r="A31" s="13">
        <f t="shared" si="0"/>
        <v>18</v>
      </c>
      <c r="B31" s="13">
        <f t="shared" si="1"/>
        <v>2.0652173913043477</v>
      </c>
      <c r="C31" s="13">
        <f t="shared" si="2"/>
        <v>5</v>
      </c>
      <c r="D31" s="13">
        <f t="shared" si="3"/>
        <v>2.0652173913043477</v>
      </c>
      <c r="E31" s="14">
        <f t="shared" si="4"/>
        <v>2.6521739130434785</v>
      </c>
      <c r="F31" s="14">
        <f t="shared" si="5"/>
        <v>2.0652173913043477</v>
      </c>
    </row>
    <row r="32" spans="1:6" x14ac:dyDescent="0.3">
      <c r="A32" s="13">
        <f t="shared" si="0"/>
        <v>19</v>
      </c>
      <c r="B32" s="13">
        <f t="shared" si="1"/>
        <v>2.0652173913043477</v>
      </c>
      <c r="C32" s="13">
        <f t="shared" si="2"/>
        <v>5</v>
      </c>
      <c r="D32" s="13">
        <f t="shared" si="3"/>
        <v>2.0652173913043477</v>
      </c>
      <c r="E32" s="14">
        <f t="shared" si="4"/>
        <v>2.6521739130434785</v>
      </c>
      <c r="F32" s="14">
        <f t="shared" si="5"/>
        <v>2.0652173913043477</v>
      </c>
    </row>
    <row r="33" spans="1:6" x14ac:dyDescent="0.3">
      <c r="A33" s="13">
        <f t="shared" si="0"/>
        <v>20</v>
      </c>
      <c r="B33" s="13">
        <f t="shared" si="1"/>
        <v>2.0652173913043477</v>
      </c>
      <c r="C33" s="13">
        <f t="shared" si="2"/>
        <v>5</v>
      </c>
      <c r="D33" s="13">
        <f t="shared" si="3"/>
        <v>2.0652173913043477</v>
      </c>
      <c r="E33" s="14">
        <f t="shared" si="4"/>
        <v>2.6521739130434785</v>
      </c>
      <c r="F33" s="14">
        <f t="shared" si="5"/>
        <v>2.0652173913043477</v>
      </c>
    </row>
    <row r="34" spans="1:6" x14ac:dyDescent="0.3">
      <c r="A34" s="13">
        <f t="shared" si="0"/>
        <v>21</v>
      </c>
      <c r="B34" s="13">
        <f t="shared" si="1"/>
        <v>2.0652173913043477</v>
      </c>
      <c r="C34" s="13">
        <f t="shared" si="2"/>
        <v>5</v>
      </c>
      <c r="D34" s="13">
        <f t="shared" si="3"/>
        <v>2.0652173913043477</v>
      </c>
      <c r="E34" s="14">
        <f t="shared" si="4"/>
        <v>2.6521739130434785</v>
      </c>
      <c r="F34" s="14">
        <f t="shared" si="5"/>
        <v>2.0652173913043477</v>
      </c>
    </row>
    <row r="35" spans="1:6" x14ac:dyDescent="0.3">
      <c r="A35" s="13">
        <f t="shared" si="0"/>
        <v>22</v>
      </c>
      <c r="B35" s="13">
        <f t="shared" si="1"/>
        <v>2.0652173913043477</v>
      </c>
      <c r="C35" s="13">
        <f t="shared" si="2"/>
        <v>5</v>
      </c>
      <c r="D35" s="13">
        <f t="shared" si="3"/>
        <v>2.0652173913043477</v>
      </c>
      <c r="E35" s="14">
        <f t="shared" si="4"/>
        <v>2.6521739130434785</v>
      </c>
      <c r="F35" s="14">
        <f t="shared" si="5"/>
        <v>2.0652173913043477</v>
      </c>
    </row>
    <row r="36" spans="1:6" x14ac:dyDescent="0.3">
      <c r="A36" s="13">
        <f t="shared" si="0"/>
        <v>23</v>
      </c>
      <c r="B36" s="13">
        <f t="shared" si="1"/>
        <v>2.0652173913043477</v>
      </c>
      <c r="C36" s="13">
        <f t="shared" si="2"/>
        <v>5</v>
      </c>
      <c r="D36" s="13">
        <f t="shared" si="3"/>
        <v>2.0652173913043477</v>
      </c>
      <c r="E36" s="14">
        <f t="shared" si="4"/>
        <v>2.6521739130434785</v>
      </c>
      <c r="F36" s="14">
        <f t="shared" si="5"/>
        <v>2.0652173913043477</v>
      </c>
    </row>
    <row r="37" spans="1:6" x14ac:dyDescent="0.3">
      <c r="A37" s="13">
        <f t="shared" si="0"/>
        <v>24</v>
      </c>
      <c r="B37" s="13">
        <f t="shared" si="1"/>
        <v>2.0652173913043477</v>
      </c>
      <c r="C37" s="13">
        <f t="shared" si="2"/>
        <v>5</v>
      </c>
      <c r="D37" s="13">
        <f t="shared" si="3"/>
        <v>2.0652173913043477</v>
      </c>
      <c r="E37" s="14">
        <f t="shared" si="4"/>
        <v>2.6521739130434785</v>
      </c>
      <c r="F37" s="14">
        <f t="shared" si="5"/>
        <v>2.0652173913043477</v>
      </c>
    </row>
    <row r="38" spans="1:6" x14ac:dyDescent="0.3">
      <c r="A38" s="13">
        <f t="shared" si="0"/>
        <v>25</v>
      </c>
      <c r="B38" s="13">
        <f t="shared" si="1"/>
        <v>2.0652173913043477</v>
      </c>
      <c r="C38" s="13">
        <f t="shared" si="2"/>
        <v>5</v>
      </c>
      <c r="D38" s="13">
        <f t="shared" si="3"/>
        <v>2.0652173913043477</v>
      </c>
      <c r="E38" s="14">
        <f t="shared" si="4"/>
        <v>2.6521739130434785</v>
      </c>
      <c r="F38" s="14">
        <f t="shared" si="5"/>
        <v>2.0652173913043477</v>
      </c>
    </row>
    <row r="39" spans="1:6" x14ac:dyDescent="0.3">
      <c r="A39" s="13">
        <f t="shared" si="0"/>
        <v>26</v>
      </c>
      <c r="B39" s="13">
        <f t="shared" si="1"/>
        <v>2.0652173913043477</v>
      </c>
      <c r="C39" s="13">
        <f t="shared" si="2"/>
        <v>5</v>
      </c>
      <c r="D39" s="13">
        <f t="shared" si="3"/>
        <v>2.0652173913043477</v>
      </c>
      <c r="E39" s="14">
        <f t="shared" si="4"/>
        <v>2.6521739130434785</v>
      </c>
      <c r="F39" s="14">
        <f t="shared" si="5"/>
        <v>2.0652173913043477</v>
      </c>
    </row>
    <row r="40" spans="1:6" x14ac:dyDescent="0.3">
      <c r="A40" s="13">
        <f t="shared" si="0"/>
        <v>27</v>
      </c>
      <c r="B40" s="13">
        <f t="shared" si="1"/>
        <v>2.0652173913043477</v>
      </c>
      <c r="C40" s="13">
        <f t="shared" si="2"/>
        <v>5</v>
      </c>
      <c r="D40" s="13">
        <f t="shared" si="3"/>
        <v>2.0652173913043477</v>
      </c>
      <c r="E40" s="14">
        <f t="shared" si="4"/>
        <v>2.6521739130434785</v>
      </c>
      <c r="F40" s="14">
        <f t="shared" si="5"/>
        <v>2.0652173913043477</v>
      </c>
    </row>
    <row r="41" spans="1:6" x14ac:dyDescent="0.3">
      <c r="A41" s="13">
        <f t="shared" si="0"/>
        <v>28</v>
      </c>
      <c r="B41" s="13">
        <f t="shared" si="1"/>
        <v>2.0652173913043477</v>
      </c>
      <c r="C41" s="13">
        <f t="shared" si="2"/>
        <v>5</v>
      </c>
      <c r="D41" s="13">
        <f t="shared" si="3"/>
        <v>2.0652173913043477</v>
      </c>
      <c r="E41" s="14">
        <f t="shared" si="4"/>
        <v>2.6521739130434785</v>
      </c>
      <c r="F41" s="14">
        <f t="shared" si="5"/>
        <v>2.0652173913043477</v>
      </c>
    </row>
    <row r="42" spans="1:6" x14ac:dyDescent="0.3">
      <c r="A42" s="13">
        <f t="shared" si="0"/>
        <v>29</v>
      </c>
      <c r="B42" s="13">
        <f t="shared" si="1"/>
        <v>2.0652173913043477</v>
      </c>
      <c r="C42" s="13">
        <f t="shared" si="2"/>
        <v>5</v>
      </c>
      <c r="D42" s="13">
        <f t="shared" si="3"/>
        <v>2.0652173913043477</v>
      </c>
      <c r="E42" s="14">
        <f t="shared" si="4"/>
        <v>2.6521739130434785</v>
      </c>
      <c r="F42" s="14">
        <f t="shared" si="5"/>
        <v>2.0652173913043477</v>
      </c>
    </row>
    <row r="43" spans="1:6" x14ac:dyDescent="0.3">
      <c r="A43" s="13">
        <f t="shared" si="0"/>
        <v>30</v>
      </c>
      <c r="B43" s="13">
        <f t="shared" si="1"/>
        <v>2.0652173913043477</v>
      </c>
      <c r="C43" s="13">
        <f t="shared" si="2"/>
        <v>5</v>
      </c>
      <c r="D43" s="13">
        <f t="shared" si="3"/>
        <v>2.0652173913043477</v>
      </c>
      <c r="E43" s="14">
        <f t="shared" si="4"/>
        <v>2.6521739130434785</v>
      </c>
      <c r="F43" s="15">
        <f t="shared" si="5"/>
        <v>2.0652173913043477</v>
      </c>
    </row>
    <row r="44" spans="1:6" x14ac:dyDescent="0.3">
      <c r="A44" s="4"/>
      <c r="B44" s="4"/>
      <c r="C44" s="4"/>
      <c r="D44" s="4"/>
      <c r="E44" s="4"/>
      <c r="F44" s="4"/>
    </row>
    <row r="45" spans="1:6" x14ac:dyDescent="0.3">
      <c r="A45" s="4"/>
      <c r="B45" s="4"/>
      <c r="C45" s="4"/>
      <c r="D45" s="4"/>
      <c r="E45" s="4"/>
      <c r="F45" s="4"/>
    </row>
    <row r="46" spans="1:6" x14ac:dyDescent="0.3">
      <c r="A46" s="4"/>
      <c r="B46" s="4"/>
      <c r="C46" s="4"/>
      <c r="D46" s="4"/>
      <c r="E46" s="4"/>
      <c r="F46" s="4"/>
    </row>
    <row r="47" spans="1:6" x14ac:dyDescent="0.3">
      <c r="A47" s="4"/>
      <c r="B47" s="4"/>
      <c r="C47" s="4"/>
      <c r="D47" s="4"/>
      <c r="E47" s="4"/>
      <c r="F47" s="4"/>
    </row>
    <row r="48" spans="1:6" x14ac:dyDescent="0.3">
      <c r="A48" s="4"/>
      <c r="B48" s="4"/>
      <c r="C48" s="4"/>
      <c r="D48" s="4"/>
      <c r="E48" s="4"/>
      <c r="F48" s="4"/>
    </row>
    <row r="49" spans="1:6" x14ac:dyDescent="0.3">
      <c r="A49" s="4"/>
      <c r="B49" s="4"/>
      <c r="C49" s="4"/>
      <c r="D49" s="4"/>
      <c r="E49" s="4"/>
      <c r="F49" s="4"/>
    </row>
    <row r="50" spans="1:6" x14ac:dyDescent="0.3">
      <c r="A50" s="4"/>
      <c r="B50" s="4"/>
      <c r="C50" s="4"/>
      <c r="D50" s="4"/>
      <c r="E50" s="4"/>
      <c r="F50" s="4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德灿 林</dc:creator>
  <cp:lastModifiedBy>德灿 林</cp:lastModifiedBy>
  <dcterms:created xsi:type="dcterms:W3CDTF">2026-07-21T02:42:14Z</dcterms:created>
  <dcterms:modified xsi:type="dcterms:W3CDTF">2026-07-21T07:26:54Z</dcterms:modified>
</cp:coreProperties>
</file>