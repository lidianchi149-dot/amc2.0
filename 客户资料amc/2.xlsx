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6F5C9D4-3BE3-461A-B5D3-6C9A97F71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C14" i="1"/>
  <c r="A14" i="1"/>
  <c r="C13" i="1"/>
  <c r="B13" i="1"/>
  <c r="D13" i="1" s="1"/>
  <c r="E13" i="1" l="1"/>
  <c r="F13" i="1" s="1"/>
  <c r="B14" i="1" s="1"/>
  <c r="D14" i="1" s="1"/>
  <c r="E14" i="1" s="1"/>
  <c r="F14" i="1" s="1"/>
  <c r="B15" i="1" s="1"/>
  <c r="D15" i="1" s="1"/>
  <c r="E15" i="1" s="1"/>
  <c r="F15" i="1" s="1"/>
  <c r="B16" i="1" s="1"/>
  <c r="D16" i="1" s="1"/>
  <c r="E16" i="1" s="1"/>
  <c r="F16" i="1" s="1"/>
  <c r="B17" i="1" s="1"/>
  <c r="D17" i="1" s="1"/>
  <c r="E17" i="1" s="1"/>
  <c r="F17" i="1" s="1"/>
  <c r="B18" i="1" s="1"/>
  <c r="D18" i="1" s="1"/>
  <c r="E18" i="1" s="1"/>
  <c r="F18" i="1" s="1"/>
  <c r="B19" i="1" s="1"/>
  <c r="D19" i="1" s="1"/>
  <c r="E19" i="1" s="1"/>
  <c r="F19" i="1" s="1"/>
  <c r="B20" i="1" s="1"/>
  <c r="D20" i="1" s="1"/>
  <c r="E20" i="1" s="1"/>
  <c r="F20" i="1" s="1"/>
  <c r="B21" i="1" s="1"/>
  <c r="D21" i="1" s="1"/>
  <c r="E21" i="1" s="1"/>
  <c r="F21" i="1" s="1"/>
  <c r="B22" i="1" s="1"/>
  <c r="D22" i="1" s="1"/>
  <c r="E22" i="1" s="1"/>
  <c r="F22" i="1" s="1"/>
  <c r="B23" i="1" s="1"/>
  <c r="D23" i="1" s="1"/>
  <c r="E23" i="1" s="1"/>
  <c r="F23" i="1" s="1"/>
  <c r="B24" i="1" s="1"/>
  <c r="D24" i="1" s="1"/>
  <c r="E24" i="1" s="1"/>
  <c r="F24" i="1" s="1"/>
  <c r="B25" i="1" s="1"/>
  <c r="D25" i="1" s="1"/>
  <c r="E25" i="1" s="1"/>
  <c r="F25" i="1" s="1"/>
  <c r="B26" i="1" s="1"/>
  <c r="D26" i="1" s="1"/>
  <c r="E26" i="1" s="1"/>
  <c r="F26" i="1" s="1"/>
  <c r="B27" i="1" s="1"/>
  <c r="D27" i="1" s="1"/>
  <c r="E27" i="1" s="1"/>
  <c r="F27" i="1" s="1"/>
  <c r="B28" i="1" s="1"/>
  <c r="D28" i="1" s="1"/>
  <c r="E28" i="1" s="1"/>
  <c r="F28" i="1" s="1"/>
  <c r="B29" i="1" s="1"/>
  <c r="D29" i="1" s="1"/>
  <c r="E29" i="1" s="1"/>
  <c r="F29" i="1" s="1"/>
  <c r="B30" i="1" s="1"/>
  <c r="D30" i="1" s="1"/>
  <c r="E30" i="1" s="1"/>
  <c r="F30" i="1" s="1"/>
  <c r="B31" i="1" s="1"/>
  <c r="D31" i="1" s="1"/>
  <c r="E31" i="1" s="1"/>
  <c r="F31" i="1" s="1"/>
  <c r="B32" i="1" s="1"/>
  <c r="D32" i="1" s="1"/>
  <c r="E32" i="1" s="1"/>
  <c r="F32" i="1" s="1"/>
  <c r="B33" i="1" s="1"/>
  <c r="D33" i="1" s="1"/>
  <c r="E33" i="1" s="1"/>
  <c r="F33" i="1" s="1"/>
  <c r="B34" i="1" s="1"/>
  <c r="D34" i="1" s="1"/>
  <c r="E34" i="1" s="1"/>
  <c r="F34" i="1" s="1"/>
  <c r="B35" i="1" s="1"/>
  <c r="D35" i="1" s="1"/>
  <c r="E35" i="1" s="1"/>
  <c r="F35" i="1" s="1"/>
  <c r="B36" i="1" s="1"/>
  <c r="D36" i="1" s="1"/>
  <c r="E36" i="1" s="1"/>
  <c r="F36" i="1" s="1"/>
  <c r="B37" i="1" s="1"/>
  <c r="D37" i="1" s="1"/>
  <c r="E37" i="1" s="1"/>
  <c r="F37" i="1" s="1"/>
  <c r="B38" i="1" s="1"/>
  <c r="D38" i="1" s="1"/>
  <c r="E38" i="1" s="1"/>
  <c r="F38" i="1" s="1"/>
  <c r="B39" i="1" s="1"/>
  <c r="D39" i="1" s="1"/>
  <c r="E39" i="1" s="1"/>
  <c r="F39" i="1" s="1"/>
  <c r="B40" i="1" s="1"/>
  <c r="D40" i="1" s="1"/>
  <c r="E40" i="1" s="1"/>
  <c r="F40" i="1" s="1"/>
  <c r="B41" i="1" s="1"/>
  <c r="D41" i="1" s="1"/>
  <c r="E41" i="1" s="1"/>
  <c r="F41" i="1" s="1"/>
  <c r="B42" i="1" s="1"/>
  <c r="D42" i="1" s="1"/>
  <c r="E42" i="1" s="1"/>
  <c r="F42" i="1" s="1"/>
  <c r="B43" i="1" s="1"/>
  <c r="D43" i="1" s="1"/>
  <c r="E43" i="1" s="1"/>
  <c r="F43" i="1" s="1"/>
</calcChain>
</file>

<file path=xl/sharedStrings.xml><?xml version="1.0" encoding="utf-8"?>
<sst xmlns="http://schemas.openxmlformats.org/spreadsheetml/2006/main" count="26" uniqueCount="21">
  <si>
    <t>C0</t>
    <phoneticPr fontId="3" type="noConversion"/>
  </si>
  <si>
    <t>μg/m³</t>
    <phoneticPr fontId="3" type="noConversion"/>
  </si>
  <si>
    <t>G</t>
    <phoneticPr fontId="3" type="noConversion"/>
  </si>
  <si>
    <t>η_MAU</t>
    <phoneticPr fontId="3" type="noConversion"/>
  </si>
  <si>
    <t>efficiency (0~1)</t>
    <phoneticPr fontId="3" type="noConversion"/>
  </si>
  <si>
    <t>cov_MAU</t>
    <phoneticPr fontId="3" type="noConversion"/>
  </si>
  <si>
    <t>coverage (0~1)</t>
    <phoneticPr fontId="3" type="noConversion"/>
  </si>
  <si>
    <t>η_ceil</t>
    <phoneticPr fontId="3" type="noConversion"/>
  </si>
  <si>
    <t>cov_ceil</t>
    <phoneticPr fontId="3" type="noConversion"/>
  </si>
  <si>
    <t>η_ARU</t>
    <phoneticPr fontId="3" type="noConversion"/>
  </si>
  <si>
    <t>cov_ARU</t>
    <phoneticPr fontId="3" type="noConversion"/>
  </si>
  <si>
    <t>α</t>
    <phoneticPr fontId="3" type="noConversion"/>
  </si>
  <si>
    <t>Fresh Air Ratio(720/3600)TBC</t>
    <phoneticPr fontId="3" type="noConversion"/>
  </si>
  <si>
    <t>β</t>
    <phoneticPr fontId="3" type="noConversion"/>
  </si>
  <si>
    <t>Recirculation Ratio(2880/3600)TBC</t>
    <phoneticPr fontId="3" type="noConversion"/>
  </si>
  <si>
    <t>Iter</t>
    <phoneticPr fontId="3" type="noConversion"/>
  </si>
  <si>
    <t>Cr_old</t>
    <phoneticPr fontId="3" type="noConversion"/>
  </si>
  <si>
    <t>C1</t>
    <phoneticPr fontId="3" type="noConversion"/>
  </si>
  <si>
    <t xml:space="preserve">C_return  </t>
    <phoneticPr fontId="3" type="noConversion"/>
  </si>
  <si>
    <t>Cmix</t>
    <phoneticPr fontId="3" type="noConversion"/>
  </si>
  <si>
    <t>Steady-State （Cr_new）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</si>
</sst>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4" x14ac:knownFonts="1">
    <font>
      <sz val="11"/>
      <color theme="1"/>
      <name val="宋体"/>
      <charset val="134"/>
      <scheme val="minor"/>
    </font>
    <font>
      <b/>
      <sz val="10"/>
      <color theme="0"/>
      <name val="等线"/>
      <family val="3"/>
      <charset val="134"/>
    </font>
    <font>
      <sz val="9"/>
      <name val="宋体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4" tint="-0.499984740745262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rgb="FF0F1115"/>
      <name val="Segoe UI"/>
      <family val="2"/>
    </font>
    <font>
      <b/>
      <sz val="10"/>
      <color theme="0"/>
      <name val="Segoe UI"/>
      <family val="2"/>
    </font>
    <font>
      <b/>
      <sz val="10"/>
      <color theme="0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F1115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F1115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3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5" fillId="0" borderId="0" xfId="0" applyFont="1">
      <alignment vertical="center"/>
    </xf>
    <xf numFmtId="176" fontId="4" fillId="4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9" fontId="5" fillId="0" borderId="0" xfId="0" applyNumberFormat="1" applyFont="1">
      <alignment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6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700088</xdr:colOff>
      <xdr:row>0</xdr:row>
      <xdr:rowOff>1</xdr:rowOff>
    </xdr:from>
    <xdr:to>
      <xdr:col>5</xdr:col>
      <xdr:colOff>2843645</xdr:colOff>
      <xdr:row>9</xdr:row>
      <xdr:rowOff>25428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806116E-7034-4C9C-84D4-EA921EF27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445"/>
        <a:stretch>
          <a:fillRect/>
        </a:stretch>
      </xdr:blipFill>
      <xdr:spPr>
        <a:xfrm>
          <a:off x="2586038" y="1"/>
          <a:ext cx="3470707" cy="1625627"/>
        </a:xfrm>
        <a:prstGeom prst="rect">
          <a:avLst/>
        </a:prstGeom>
      </xdr:spPr>
    </xdr:pic>
    <xdr:clientData/>
  </xdr:twoCellAnchor>
  <xdr:twoCellAnchor>
    <xdr:from>
      <xdr:col>4</xdr:col>
      <xdr:colOff>304979</xdr:colOff>
      <xdr:row>4</xdr:row>
      <xdr:rowOff>77939</xdr:rowOff>
    </xdr:from>
    <xdr:to>
      <xdr:col>5</xdr:col>
      <xdr:colOff>415637</xdr:colOff>
      <xdr:row>6</xdr:row>
      <xdr:rowOff>103909</xdr:rowOff>
    </xdr:to>
    <xdr:sp macro="" textlink="">
      <xdr:nvSpPr>
        <xdr:cNvPr id="3" name="文本框 13">
          <a:extLst>
            <a:ext uri="{FF2B5EF4-FFF2-40B4-BE49-F238E27FC236}">
              <a16:creationId xmlns:a16="http://schemas.microsoft.com/office/drawing/2014/main" id="{C1BDC0FB-9077-4BAB-ABCF-97D7624286CE}"/>
            </a:ext>
          </a:extLst>
        </xdr:cNvPr>
        <xdr:cNvSpPr txBox="1"/>
      </xdr:nvSpPr>
      <xdr:spPr>
        <a:xfrm>
          <a:off x="5384979" y="738339"/>
          <a:ext cx="1425108" cy="356170"/>
        </a:xfrm>
        <a:prstGeom prst="rect">
          <a:avLst/>
        </a:prstGeom>
        <a:solidFill>
          <a:srgbClr val="8FAADC">
            <a:alpha val="18039"/>
          </a:srgb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界面逻辑示例</a:t>
          </a:r>
          <a:endParaRPr lang="en-US" altLang="zh-CN" sz="1400" b="1"/>
        </a:p>
        <a:p>
          <a:endParaRPr lang="zh-CN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I9" sqref="I9"/>
    </sheetView>
  </sheetViews>
  <sheetFormatPr defaultColWidth="9" defaultRowHeight="14" x14ac:dyDescent="0.25"/>
  <cols>
    <col min="4" max="5" width="9" customWidth="1"/>
    <col min="6" max="6" width="42.81640625" customWidth="1"/>
  </cols>
  <sheetData>
    <row r="1" spans="1:6" x14ac:dyDescent="0.25">
      <c r="A1" s="1" t="s">
        <v>0</v>
      </c>
      <c r="B1" s="2">
        <v>6</v>
      </c>
      <c r="C1" s="3" t="s">
        <v>1</v>
      </c>
      <c r="D1" s="4"/>
      <c r="E1" s="4"/>
      <c r="F1" s="4"/>
    </row>
    <row r="2" spans="1:6" x14ac:dyDescent="0.25">
      <c r="A2" s="1" t="s">
        <v>2</v>
      </c>
      <c r="B2" s="2">
        <v>2</v>
      </c>
      <c r="C2" s="3" t="s">
        <v>1</v>
      </c>
      <c r="D2" s="4"/>
      <c r="E2" s="4"/>
      <c r="F2" s="4"/>
    </row>
    <row r="3" spans="1:6" x14ac:dyDescent="0.25">
      <c r="A3" s="1" t="s">
        <v>3</v>
      </c>
      <c r="B3" s="5">
        <v>0.5</v>
      </c>
      <c r="C3" s="3" t="s">
        <v>4</v>
      </c>
      <c r="D3" s="4"/>
      <c r="E3" s="4"/>
      <c r="F3" s="4"/>
    </row>
    <row r="4" spans="1:6" x14ac:dyDescent="0.25">
      <c r="A4" s="1" t="s">
        <v>5</v>
      </c>
      <c r="B4" s="5">
        <v>1</v>
      </c>
      <c r="C4" s="3" t="s">
        <v>6</v>
      </c>
      <c r="D4" s="4"/>
      <c r="E4" s="4"/>
      <c r="F4" s="4"/>
    </row>
    <row r="5" spans="1:6" x14ac:dyDescent="0.25">
      <c r="A5" s="1" t="s">
        <v>7</v>
      </c>
      <c r="B5" s="5">
        <v>0.7</v>
      </c>
      <c r="C5" s="3" t="s">
        <v>4</v>
      </c>
      <c r="D5" s="4"/>
      <c r="E5" s="4"/>
      <c r="F5" s="4"/>
    </row>
    <row r="6" spans="1:6" x14ac:dyDescent="0.25">
      <c r="A6" s="1" t="s">
        <v>8</v>
      </c>
      <c r="B6" s="5">
        <v>0.5</v>
      </c>
      <c r="C6" s="3" t="s">
        <v>6</v>
      </c>
      <c r="D6" s="4"/>
      <c r="E6" s="4"/>
      <c r="F6" s="4"/>
    </row>
    <row r="7" spans="1:6" x14ac:dyDescent="0.25">
      <c r="A7" s="1" t="s">
        <v>9</v>
      </c>
      <c r="B7" s="5">
        <v>0</v>
      </c>
      <c r="C7" s="3" t="s">
        <v>4</v>
      </c>
      <c r="D7" s="4"/>
      <c r="E7" s="4"/>
      <c r="F7" s="4"/>
    </row>
    <row r="8" spans="1:6" x14ac:dyDescent="0.25">
      <c r="A8" s="1" t="s">
        <v>10</v>
      </c>
      <c r="B8" s="5">
        <v>0</v>
      </c>
      <c r="C8" s="3" t="s">
        <v>6</v>
      </c>
      <c r="D8" s="4"/>
      <c r="E8" s="4"/>
      <c r="F8" s="4"/>
    </row>
    <row r="9" spans="1:6" x14ac:dyDescent="0.25">
      <c r="A9" s="1" t="s">
        <v>11</v>
      </c>
      <c r="B9" s="5">
        <v>0.2</v>
      </c>
      <c r="C9" s="3" t="s">
        <v>12</v>
      </c>
      <c r="D9" s="4"/>
      <c r="E9" s="4"/>
      <c r="F9" s="4"/>
    </row>
    <row r="10" spans="1:6" x14ac:dyDescent="0.25">
      <c r="A10" s="1" t="s">
        <v>13</v>
      </c>
      <c r="B10" s="5">
        <v>0.8</v>
      </c>
      <c r="C10" s="3" t="s">
        <v>14</v>
      </c>
      <c r="D10" s="4"/>
      <c r="E10" s="4"/>
      <c r="F10" s="4"/>
    </row>
    <row r="11" spans="1:6" ht="16" x14ac:dyDescent="0.25">
      <c r="A11" s="6"/>
      <c r="B11" s="7"/>
      <c r="C11" s="4"/>
      <c r="D11" s="4"/>
      <c r="E11" s="4"/>
      <c r="F11" s="4"/>
    </row>
    <row r="12" spans="1:6" ht="16" x14ac:dyDescent="0.25">
      <c r="A12" s="8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10" t="s">
        <v>20</v>
      </c>
    </row>
    <row r="13" spans="1:6" x14ac:dyDescent="0.25">
      <c r="A13" s="11">
        <v>0</v>
      </c>
      <c r="B13" s="11">
        <f>B1</f>
        <v>6</v>
      </c>
      <c r="C13" s="12">
        <f>$B$1*(1-$B$3*$B$4)</f>
        <v>3</v>
      </c>
      <c r="D13" s="12">
        <f>B13*(1-$B$7*$B$8)</f>
        <v>6</v>
      </c>
      <c r="E13" s="12">
        <f>$B$9*C13 + $B$10*D13</f>
        <v>5.4</v>
      </c>
      <c r="F13" s="12">
        <f>E13*(1-$B$6*$B$5) + $B$9*$B$2</f>
        <v>3.91</v>
      </c>
    </row>
    <row r="14" spans="1:6" x14ac:dyDescent="0.25">
      <c r="A14" s="13">
        <f>A13+1</f>
        <v>1</v>
      </c>
      <c r="B14" s="13">
        <f>F13</f>
        <v>3.91</v>
      </c>
      <c r="C14" s="13">
        <f>$B$1*(1-$B$3*$B$4)</f>
        <v>3</v>
      </c>
      <c r="D14" s="13">
        <f>B14*(1-$B$7*$B$8)</f>
        <v>3.91</v>
      </c>
      <c r="E14" s="14">
        <f>$B$9*C14 + $B$10*D14</f>
        <v>3.7280000000000002</v>
      </c>
      <c r="F14" s="14">
        <f>E14*(1-$B$6*$B$5) + $B$9*$B$2</f>
        <v>2.8231999999999999</v>
      </c>
    </row>
    <row r="15" spans="1:6" x14ac:dyDescent="0.25">
      <c r="A15" s="13">
        <f t="shared" ref="A15:A43" si="0">A14+1</f>
        <v>2</v>
      </c>
      <c r="B15" s="13">
        <f t="shared" ref="B15:B43" si="1">F14</f>
        <v>2.8231999999999999</v>
      </c>
      <c r="C15" s="13">
        <f t="shared" ref="C15:C43" si="2">$B$1*(1-$B$3*$B$4)</f>
        <v>3</v>
      </c>
      <c r="D15" s="13">
        <f t="shared" ref="D15:D43" si="3">B15*(1-$B$7*$B$8)</f>
        <v>2.8231999999999999</v>
      </c>
      <c r="E15" s="14">
        <f t="shared" ref="E15:E43" si="4">$B$9*C15 + $B$10*D15</f>
        <v>2.8585600000000002</v>
      </c>
      <c r="F15" s="14">
        <f t="shared" ref="F15:F43" si="5">E15*(1-$B$6*$B$5) + $B$9*$B$2</f>
        <v>2.2580640000000001</v>
      </c>
    </row>
    <row r="16" spans="1:6" x14ac:dyDescent="0.25">
      <c r="A16" s="13">
        <f t="shared" si="0"/>
        <v>3</v>
      </c>
      <c r="B16" s="13">
        <f t="shared" si="1"/>
        <v>2.2580640000000001</v>
      </c>
      <c r="C16" s="13">
        <f t="shared" si="2"/>
        <v>3</v>
      </c>
      <c r="D16" s="13">
        <f t="shared" si="3"/>
        <v>2.2580640000000001</v>
      </c>
      <c r="E16" s="14">
        <f t="shared" si="4"/>
        <v>2.4064512000000002</v>
      </c>
      <c r="F16" s="14">
        <f t="shared" si="5"/>
        <v>1.9641932800000004</v>
      </c>
    </row>
    <row r="17" spans="1:6" x14ac:dyDescent="0.25">
      <c r="A17" s="13">
        <f t="shared" si="0"/>
        <v>4</v>
      </c>
      <c r="B17" s="13">
        <f t="shared" si="1"/>
        <v>1.9641932800000004</v>
      </c>
      <c r="C17" s="13">
        <f>$B$1*(1-$B$3*$B$4)</f>
        <v>3</v>
      </c>
      <c r="D17" s="13">
        <f t="shared" si="3"/>
        <v>1.9641932800000004</v>
      </c>
      <c r="E17" s="14">
        <f t="shared" si="4"/>
        <v>2.1713546240000006</v>
      </c>
      <c r="F17" s="14">
        <f t="shared" si="5"/>
        <v>1.8113805056000003</v>
      </c>
    </row>
    <row r="18" spans="1:6" x14ac:dyDescent="0.25">
      <c r="A18" s="13">
        <f t="shared" si="0"/>
        <v>5</v>
      </c>
      <c r="B18" s="13">
        <f>F17</f>
        <v>1.8113805056000003</v>
      </c>
      <c r="C18" s="13">
        <f t="shared" si="2"/>
        <v>3</v>
      </c>
      <c r="D18" s="13">
        <f t="shared" si="3"/>
        <v>1.8113805056000003</v>
      </c>
      <c r="E18" s="14">
        <f t="shared" si="4"/>
        <v>2.0491044044800004</v>
      </c>
      <c r="F18" s="14">
        <f t="shared" si="5"/>
        <v>1.7319178629120002</v>
      </c>
    </row>
    <row r="19" spans="1:6" x14ac:dyDescent="0.25">
      <c r="A19" s="13">
        <f t="shared" si="0"/>
        <v>6</v>
      </c>
      <c r="B19" s="13">
        <f t="shared" si="1"/>
        <v>1.7319178629120002</v>
      </c>
      <c r="C19" s="13">
        <f t="shared" si="2"/>
        <v>3</v>
      </c>
      <c r="D19" s="13">
        <f t="shared" si="3"/>
        <v>1.7319178629120002</v>
      </c>
      <c r="E19" s="14">
        <f t="shared" si="4"/>
        <v>1.9855342903296003</v>
      </c>
      <c r="F19" s="14">
        <f t="shared" si="5"/>
        <v>1.6905972887142404</v>
      </c>
    </row>
    <row r="20" spans="1:6" x14ac:dyDescent="0.25">
      <c r="A20" s="13">
        <f>A19+1</f>
        <v>7</v>
      </c>
      <c r="B20" s="13">
        <f t="shared" si="1"/>
        <v>1.6905972887142404</v>
      </c>
      <c r="C20" s="13">
        <f t="shared" si="2"/>
        <v>3</v>
      </c>
      <c r="D20" s="13">
        <f t="shared" si="3"/>
        <v>1.6905972887142404</v>
      </c>
      <c r="E20" s="14">
        <f t="shared" si="4"/>
        <v>1.9524778309713926</v>
      </c>
      <c r="F20" s="14">
        <f t="shared" si="5"/>
        <v>1.6691105901314054</v>
      </c>
    </row>
    <row r="21" spans="1:6" x14ac:dyDescent="0.25">
      <c r="A21" s="13">
        <f t="shared" si="0"/>
        <v>8</v>
      </c>
      <c r="B21" s="13">
        <f t="shared" si="1"/>
        <v>1.6691105901314054</v>
      </c>
      <c r="C21" s="13">
        <f t="shared" si="2"/>
        <v>3</v>
      </c>
      <c r="D21" s="13">
        <f t="shared" si="3"/>
        <v>1.6691105901314054</v>
      </c>
      <c r="E21" s="14">
        <f t="shared" si="4"/>
        <v>1.9352884721051244</v>
      </c>
      <c r="F21" s="14">
        <f t="shared" si="5"/>
        <v>1.6579375068683309</v>
      </c>
    </row>
    <row r="22" spans="1:6" x14ac:dyDescent="0.25">
      <c r="A22" s="13">
        <f t="shared" si="0"/>
        <v>9</v>
      </c>
      <c r="B22" s="13">
        <f t="shared" si="1"/>
        <v>1.6579375068683309</v>
      </c>
      <c r="C22" s="13">
        <f t="shared" si="2"/>
        <v>3</v>
      </c>
      <c r="D22" s="13">
        <f t="shared" si="3"/>
        <v>1.6579375068683309</v>
      </c>
      <c r="E22" s="14">
        <f t="shared" si="4"/>
        <v>1.926350005494665</v>
      </c>
      <c r="F22" s="14">
        <f t="shared" si="5"/>
        <v>1.6521275035715322</v>
      </c>
    </row>
    <row r="23" spans="1:6" x14ac:dyDescent="0.25">
      <c r="A23" s="13">
        <f t="shared" si="0"/>
        <v>10</v>
      </c>
      <c r="B23" s="13">
        <f t="shared" si="1"/>
        <v>1.6521275035715322</v>
      </c>
      <c r="C23" s="13">
        <f t="shared" si="2"/>
        <v>3</v>
      </c>
      <c r="D23" s="13">
        <f t="shared" si="3"/>
        <v>1.6521275035715322</v>
      </c>
      <c r="E23" s="14">
        <f t="shared" si="4"/>
        <v>1.9217020028572258</v>
      </c>
      <c r="F23" s="14">
        <f t="shared" si="5"/>
        <v>1.6491063018571968</v>
      </c>
    </row>
    <row r="24" spans="1:6" x14ac:dyDescent="0.25">
      <c r="A24" s="13">
        <f t="shared" si="0"/>
        <v>11</v>
      </c>
      <c r="B24" s="13">
        <f t="shared" si="1"/>
        <v>1.6491063018571968</v>
      </c>
      <c r="C24" s="13">
        <f t="shared" si="2"/>
        <v>3</v>
      </c>
      <c r="D24" s="13">
        <f t="shared" si="3"/>
        <v>1.6491063018571968</v>
      </c>
      <c r="E24" s="14">
        <f t="shared" si="4"/>
        <v>1.9192850414857576</v>
      </c>
      <c r="F24" s="14">
        <f t="shared" si="5"/>
        <v>1.6475352769657423</v>
      </c>
    </row>
    <row r="25" spans="1:6" x14ac:dyDescent="0.25">
      <c r="A25" s="13">
        <f t="shared" si="0"/>
        <v>12</v>
      </c>
      <c r="B25" s="13">
        <f t="shared" si="1"/>
        <v>1.6475352769657423</v>
      </c>
      <c r="C25" s="13">
        <f t="shared" si="2"/>
        <v>3</v>
      </c>
      <c r="D25" s="13">
        <f t="shared" si="3"/>
        <v>1.6475352769657423</v>
      </c>
      <c r="E25" s="14">
        <f t="shared" si="4"/>
        <v>1.9180282215725941</v>
      </c>
      <c r="F25" s="14">
        <f t="shared" si="5"/>
        <v>1.6467183440221862</v>
      </c>
    </row>
    <row r="26" spans="1:6" x14ac:dyDescent="0.25">
      <c r="A26" s="13">
        <f t="shared" si="0"/>
        <v>13</v>
      </c>
      <c r="B26" s="13">
        <f t="shared" si="1"/>
        <v>1.6467183440221862</v>
      </c>
      <c r="C26" s="13">
        <f t="shared" si="2"/>
        <v>3</v>
      </c>
      <c r="D26" s="13">
        <f t="shared" si="3"/>
        <v>1.6467183440221862</v>
      </c>
      <c r="E26" s="14">
        <f t="shared" si="4"/>
        <v>1.9173746752177492</v>
      </c>
      <c r="F26" s="14">
        <f t="shared" si="5"/>
        <v>1.6462935388915372</v>
      </c>
    </row>
    <row r="27" spans="1:6" x14ac:dyDescent="0.25">
      <c r="A27" s="13">
        <f t="shared" si="0"/>
        <v>14</v>
      </c>
      <c r="B27" s="13">
        <f t="shared" si="1"/>
        <v>1.6462935388915372</v>
      </c>
      <c r="C27" s="13">
        <f t="shared" si="2"/>
        <v>3</v>
      </c>
      <c r="D27" s="13">
        <f t="shared" si="3"/>
        <v>1.6462935388915372</v>
      </c>
      <c r="E27" s="14">
        <f t="shared" si="4"/>
        <v>1.9170348311132299</v>
      </c>
      <c r="F27" s="14">
        <f t="shared" si="5"/>
        <v>1.6460726402235997</v>
      </c>
    </row>
    <row r="28" spans="1:6" x14ac:dyDescent="0.25">
      <c r="A28" s="13">
        <f t="shared" si="0"/>
        <v>15</v>
      </c>
      <c r="B28" s="13">
        <f t="shared" si="1"/>
        <v>1.6460726402235997</v>
      </c>
      <c r="C28" s="13">
        <f t="shared" si="2"/>
        <v>3</v>
      </c>
      <c r="D28" s="13">
        <f t="shared" si="3"/>
        <v>1.6460726402235997</v>
      </c>
      <c r="E28" s="14">
        <f t="shared" si="4"/>
        <v>1.9168581121788799</v>
      </c>
      <c r="F28" s="14">
        <f t="shared" si="5"/>
        <v>1.645957772916272</v>
      </c>
    </row>
    <row r="29" spans="1:6" x14ac:dyDescent="0.25">
      <c r="A29" s="13">
        <f t="shared" si="0"/>
        <v>16</v>
      </c>
      <c r="B29" s="13">
        <f t="shared" si="1"/>
        <v>1.645957772916272</v>
      </c>
      <c r="C29" s="13">
        <f t="shared" si="2"/>
        <v>3</v>
      </c>
      <c r="D29" s="13">
        <f t="shared" si="3"/>
        <v>1.645957772916272</v>
      </c>
      <c r="E29" s="14">
        <f t="shared" si="4"/>
        <v>1.9167662183330179</v>
      </c>
      <c r="F29" s="14">
        <f t="shared" si="5"/>
        <v>1.6458980419164617</v>
      </c>
    </row>
    <row r="30" spans="1:6" x14ac:dyDescent="0.25">
      <c r="A30" s="13">
        <f t="shared" si="0"/>
        <v>17</v>
      </c>
      <c r="B30" s="13">
        <f t="shared" si="1"/>
        <v>1.6458980419164617</v>
      </c>
      <c r="C30" s="13">
        <f t="shared" si="2"/>
        <v>3</v>
      </c>
      <c r="D30" s="13">
        <f t="shared" si="3"/>
        <v>1.6458980419164617</v>
      </c>
      <c r="E30" s="14">
        <f t="shared" si="4"/>
        <v>1.9167184335331695</v>
      </c>
      <c r="F30" s="14">
        <f t="shared" si="5"/>
        <v>1.6458669817965603</v>
      </c>
    </row>
    <row r="31" spans="1:6" x14ac:dyDescent="0.25">
      <c r="A31" s="13">
        <f t="shared" si="0"/>
        <v>18</v>
      </c>
      <c r="B31" s="13">
        <f t="shared" si="1"/>
        <v>1.6458669817965603</v>
      </c>
      <c r="C31" s="13">
        <f t="shared" si="2"/>
        <v>3</v>
      </c>
      <c r="D31" s="13">
        <f t="shared" si="3"/>
        <v>1.6458669817965603</v>
      </c>
      <c r="E31" s="14">
        <f t="shared" si="4"/>
        <v>1.9166935854372484</v>
      </c>
      <c r="F31" s="14">
        <f t="shared" si="5"/>
        <v>1.6458508305342114</v>
      </c>
    </row>
    <row r="32" spans="1:6" x14ac:dyDescent="0.25">
      <c r="A32" s="13">
        <f t="shared" si="0"/>
        <v>19</v>
      </c>
      <c r="B32" s="13">
        <f t="shared" si="1"/>
        <v>1.6458508305342114</v>
      </c>
      <c r="C32" s="13">
        <f t="shared" si="2"/>
        <v>3</v>
      </c>
      <c r="D32" s="13">
        <f t="shared" si="3"/>
        <v>1.6458508305342114</v>
      </c>
      <c r="E32" s="14">
        <f t="shared" si="4"/>
        <v>1.9166806644273693</v>
      </c>
      <c r="F32" s="14">
        <f t="shared" si="5"/>
        <v>1.64584243187779</v>
      </c>
    </row>
    <row r="33" spans="1:6" x14ac:dyDescent="0.25">
      <c r="A33" s="13">
        <f t="shared" si="0"/>
        <v>20</v>
      </c>
      <c r="B33" s="13">
        <f t="shared" si="1"/>
        <v>1.64584243187779</v>
      </c>
      <c r="C33" s="13">
        <f t="shared" si="2"/>
        <v>3</v>
      </c>
      <c r="D33" s="13">
        <f t="shared" si="3"/>
        <v>1.64584243187779</v>
      </c>
      <c r="E33" s="14">
        <f t="shared" si="4"/>
        <v>1.9166739455022321</v>
      </c>
      <c r="F33" s="14">
        <f t="shared" si="5"/>
        <v>1.6458380645764508</v>
      </c>
    </row>
    <row r="34" spans="1:6" x14ac:dyDescent="0.25">
      <c r="A34" s="13">
        <f t="shared" si="0"/>
        <v>21</v>
      </c>
      <c r="B34" s="13">
        <f t="shared" si="1"/>
        <v>1.6458380645764508</v>
      </c>
      <c r="C34" s="13">
        <f t="shared" si="2"/>
        <v>3</v>
      </c>
      <c r="D34" s="13">
        <f t="shared" si="3"/>
        <v>1.6458380645764508</v>
      </c>
      <c r="E34" s="14">
        <f t="shared" si="4"/>
        <v>1.9166704516611608</v>
      </c>
      <c r="F34" s="14">
        <f t="shared" si="5"/>
        <v>1.6458357935797547</v>
      </c>
    </row>
    <row r="35" spans="1:6" x14ac:dyDescent="0.25">
      <c r="A35" s="13">
        <f t="shared" si="0"/>
        <v>22</v>
      </c>
      <c r="B35" s="13">
        <f t="shared" si="1"/>
        <v>1.6458357935797547</v>
      </c>
      <c r="C35" s="13">
        <f t="shared" si="2"/>
        <v>3</v>
      </c>
      <c r="D35" s="13">
        <f t="shared" si="3"/>
        <v>1.6458357935797547</v>
      </c>
      <c r="E35" s="14">
        <f t="shared" si="4"/>
        <v>1.916668634863804</v>
      </c>
      <c r="F35" s="14">
        <f t="shared" si="5"/>
        <v>1.6458346126614725</v>
      </c>
    </row>
    <row r="36" spans="1:6" x14ac:dyDescent="0.25">
      <c r="A36" s="13">
        <f t="shared" si="0"/>
        <v>23</v>
      </c>
      <c r="B36" s="13">
        <f t="shared" si="1"/>
        <v>1.6458346126614725</v>
      </c>
      <c r="C36" s="13">
        <f t="shared" si="2"/>
        <v>3</v>
      </c>
      <c r="D36" s="13">
        <f t="shared" si="3"/>
        <v>1.6458346126614725</v>
      </c>
      <c r="E36" s="14">
        <f t="shared" si="4"/>
        <v>1.9166676901291781</v>
      </c>
      <c r="F36" s="14">
        <f t="shared" si="5"/>
        <v>1.6458339985839658</v>
      </c>
    </row>
    <row r="37" spans="1:6" x14ac:dyDescent="0.25">
      <c r="A37" s="13">
        <f t="shared" si="0"/>
        <v>24</v>
      </c>
      <c r="B37" s="13">
        <f t="shared" si="1"/>
        <v>1.6458339985839658</v>
      </c>
      <c r="C37" s="13">
        <f t="shared" si="2"/>
        <v>3</v>
      </c>
      <c r="D37" s="13">
        <f t="shared" si="3"/>
        <v>1.6458339985839658</v>
      </c>
      <c r="E37" s="14">
        <f t="shared" si="4"/>
        <v>1.9166671988671728</v>
      </c>
      <c r="F37" s="14">
        <f t="shared" si="5"/>
        <v>1.6458336792636623</v>
      </c>
    </row>
    <row r="38" spans="1:6" x14ac:dyDescent="0.25">
      <c r="A38" s="13">
        <f t="shared" si="0"/>
        <v>25</v>
      </c>
      <c r="B38" s="13">
        <f t="shared" si="1"/>
        <v>1.6458336792636623</v>
      </c>
      <c r="C38" s="13">
        <f t="shared" si="2"/>
        <v>3</v>
      </c>
      <c r="D38" s="13">
        <f t="shared" si="3"/>
        <v>1.6458336792636623</v>
      </c>
      <c r="E38" s="14">
        <f t="shared" si="4"/>
        <v>1.91666694341093</v>
      </c>
      <c r="F38" s="14">
        <f t="shared" si="5"/>
        <v>1.6458335132171045</v>
      </c>
    </row>
    <row r="39" spans="1:6" x14ac:dyDescent="0.25">
      <c r="A39" s="13">
        <f t="shared" si="0"/>
        <v>26</v>
      </c>
      <c r="B39" s="13">
        <f t="shared" si="1"/>
        <v>1.6458335132171045</v>
      </c>
      <c r="C39" s="13">
        <f t="shared" si="2"/>
        <v>3</v>
      </c>
      <c r="D39" s="13">
        <f t="shared" si="3"/>
        <v>1.6458335132171045</v>
      </c>
      <c r="E39" s="14">
        <f t="shared" si="4"/>
        <v>1.9166668105736837</v>
      </c>
      <c r="F39" s="14">
        <f t="shared" si="5"/>
        <v>1.6458334268728945</v>
      </c>
    </row>
    <row r="40" spans="1:6" x14ac:dyDescent="0.25">
      <c r="A40" s="13">
        <f t="shared" si="0"/>
        <v>27</v>
      </c>
      <c r="B40" s="13">
        <f t="shared" si="1"/>
        <v>1.6458334268728945</v>
      </c>
      <c r="C40" s="13">
        <f t="shared" si="2"/>
        <v>3</v>
      </c>
      <c r="D40" s="13">
        <f t="shared" si="3"/>
        <v>1.6458334268728945</v>
      </c>
      <c r="E40" s="14">
        <f t="shared" si="4"/>
        <v>1.9166667414983158</v>
      </c>
      <c r="F40" s="14">
        <f t="shared" si="5"/>
        <v>1.6458333819739055</v>
      </c>
    </row>
    <row r="41" spans="1:6" x14ac:dyDescent="0.25">
      <c r="A41" s="13">
        <f t="shared" si="0"/>
        <v>28</v>
      </c>
      <c r="B41" s="13">
        <f t="shared" si="1"/>
        <v>1.6458333819739055</v>
      </c>
      <c r="C41" s="13">
        <f t="shared" si="2"/>
        <v>3</v>
      </c>
      <c r="D41" s="13">
        <f t="shared" si="3"/>
        <v>1.6458333819739055</v>
      </c>
      <c r="E41" s="14">
        <f t="shared" si="4"/>
        <v>1.9166667055791247</v>
      </c>
      <c r="F41" s="14">
        <f t="shared" si="5"/>
        <v>1.6458333586264309</v>
      </c>
    </row>
    <row r="42" spans="1:6" x14ac:dyDescent="0.25">
      <c r="A42" s="13">
        <f t="shared" si="0"/>
        <v>29</v>
      </c>
      <c r="B42" s="13">
        <f t="shared" si="1"/>
        <v>1.6458333586264309</v>
      </c>
      <c r="C42" s="13">
        <f t="shared" si="2"/>
        <v>3</v>
      </c>
      <c r="D42" s="13">
        <f t="shared" si="3"/>
        <v>1.6458333586264309</v>
      </c>
      <c r="E42" s="14">
        <f t="shared" si="4"/>
        <v>1.9166666869011448</v>
      </c>
      <c r="F42" s="14">
        <f t="shared" si="5"/>
        <v>1.6458333464857442</v>
      </c>
    </row>
    <row r="43" spans="1:6" x14ac:dyDescent="0.25">
      <c r="A43" s="13">
        <f t="shared" si="0"/>
        <v>30</v>
      </c>
      <c r="B43" s="13">
        <f t="shared" si="1"/>
        <v>1.6458333464857442</v>
      </c>
      <c r="C43" s="13">
        <f t="shared" si="2"/>
        <v>3</v>
      </c>
      <c r="D43" s="13">
        <f t="shared" si="3"/>
        <v>1.6458333464857442</v>
      </c>
      <c r="E43" s="14">
        <f t="shared" si="4"/>
        <v>1.9166666771885956</v>
      </c>
      <c r="F43" s="15">
        <f t="shared" si="5"/>
        <v>1.6458333401725871</v>
      </c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林德灿</dc:creator>
  <cp:lastModifiedBy>德灿 林</cp:lastModifiedBy>
  <dcterms:created xsi:type="dcterms:W3CDTF">2023-05-12T11:15:00Z</dcterms:created>
  <dcterms:modified xsi:type="dcterms:W3CDTF">2026-07-21T07:28:32Z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